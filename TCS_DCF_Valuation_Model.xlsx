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Model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"/>
    <numFmt numFmtId="165" formatCode="0.0%"/>
    <numFmt numFmtId="166" formatCode="#,##0.0"/>
    <numFmt numFmtId="167" formatCode="₹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166" fontId="0" fillId="0" borderId="0" pivotButton="0" quotePrefix="0" xfId="0"/>
    <xf numFmtId="165" fontId="2" fillId="3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TCS — DCF Valuation &amp; Financial Modelling</t>
        </is>
      </c>
    </row>
    <row r="3">
      <c r="A3" s="2" t="inlineStr">
        <is>
          <t>Company</t>
        </is>
      </c>
      <c r="B3" t="inlineStr">
        <is>
          <t>Tata Consultancy Services Ltd.</t>
        </is>
      </c>
    </row>
    <row r="4">
      <c r="A4" s="2" t="inlineStr">
        <is>
          <t>Ticker</t>
        </is>
      </c>
      <c r="B4" t="inlineStr">
        <is>
          <t>TCS (NSE)</t>
        </is>
      </c>
    </row>
    <row r="5">
      <c r="A5" s="2" t="inlineStr">
        <is>
          <t>Valuation date</t>
        </is>
      </c>
      <c r="B5" t="inlineStr">
        <is>
          <t>14-Aug-2026</t>
        </is>
      </c>
    </row>
    <row r="6">
      <c r="A6" s="2" t="inlineStr">
        <is>
          <t>Reference share price (₹)</t>
        </is>
      </c>
      <c r="B6" s="3" t="n">
        <v>2359</v>
      </c>
    </row>
    <row r="7">
      <c r="A7" s="2" t="inlineStr">
        <is>
          <t>Base WACC</t>
        </is>
      </c>
      <c r="B7" s="4" t="n">
        <v>0.113</v>
      </c>
    </row>
    <row r="8">
      <c r="A8" s="2" t="inlineStr">
        <is>
          <t>Terminal growth</t>
        </is>
      </c>
      <c r="B8" s="4" t="n">
        <v>0.045</v>
      </c>
    </row>
    <row r="9">
      <c r="A9" s="2" t="inlineStr">
        <is>
          <t>Enterprise value (₹ crore)</t>
        </is>
      </c>
      <c r="B9" s="3">
        <f>DCF!B6</f>
        <v/>
      </c>
    </row>
    <row r="10">
      <c r="A10" s="2" t="inlineStr">
        <is>
          <t>Equity value (₹ crore)</t>
        </is>
      </c>
      <c r="B10" s="3">
        <f>DCF!B9</f>
        <v/>
      </c>
    </row>
    <row r="11">
      <c r="A11" s="2" t="inlineStr">
        <is>
          <t>DCF target price (₹)</t>
        </is>
      </c>
      <c r="B11" s="3">
        <f>DCF!B11</f>
        <v/>
      </c>
    </row>
    <row r="12">
      <c r="A12" s="2" t="inlineStr">
        <is>
          <t>Implied upside</t>
        </is>
      </c>
      <c r="B12" s="4">
        <f>DCF!B12</f>
        <v/>
      </c>
    </row>
    <row r="13">
      <c r="A13" s="2" t="inlineStr">
        <is>
          <t>Investment view</t>
        </is>
      </c>
      <c r="B13" t="inlineStr">
        <is>
          <t>NEUTRAL / WATCHLIST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5" t="inlineStr">
        <is>
          <t>Metric</t>
        </is>
      </c>
      <c r="B1" s="5" t="inlineStr">
        <is>
          <t>FY26A</t>
        </is>
      </c>
      <c r="C1" s="5" t="inlineStr">
        <is>
          <t>FY27E</t>
        </is>
      </c>
      <c r="D1" s="5" t="inlineStr">
        <is>
          <t>FY28E</t>
        </is>
      </c>
      <c r="E1" s="5" t="inlineStr">
        <is>
          <t>FY29E</t>
        </is>
      </c>
      <c r="F1" s="5" t="inlineStr">
        <is>
          <t>FY30E</t>
        </is>
      </c>
      <c r="G1" s="5" t="inlineStr">
        <is>
          <t>FY31E</t>
        </is>
      </c>
      <c r="H1" s="5" t="inlineStr">
        <is>
          <t>FY32E</t>
        </is>
      </c>
    </row>
    <row r="2">
      <c r="A2" t="inlineStr">
        <is>
          <t>Revenue (₹ crore)</t>
        </is>
      </c>
      <c r="B2" s="6" t="n">
        <v>267021</v>
      </c>
      <c r="C2" s="6" t="n">
        <v>284100</v>
      </c>
      <c r="D2" s="6" t="n">
        <v>308500</v>
      </c>
      <c r="E2" s="6" t="n">
        <v>330095</v>
      </c>
      <c r="F2" s="6" t="n">
        <v>349901</v>
      </c>
      <c r="G2" s="6" t="n">
        <v>369146</v>
      </c>
      <c r="H2" s="6" t="n">
        <v>387603</v>
      </c>
    </row>
    <row r="3">
      <c r="A3" t="inlineStr">
        <is>
          <t>Revenue growth</t>
        </is>
      </c>
      <c r="C3" s="4" t="n">
        <v>0.06396126147381676</v>
      </c>
      <c r="D3" s="4" t="n">
        <v>0.08588525167194661</v>
      </c>
      <c r="E3" s="4" t="n">
        <v>0.07000000000000006</v>
      </c>
      <c r="F3" s="4" t="n">
        <v>0.06000090882927633</v>
      </c>
      <c r="G3" s="4" t="n">
        <v>0.05500127178830594</v>
      </c>
      <c r="H3" s="4" t="n">
        <v>0.04999918731342068</v>
      </c>
    </row>
    <row r="4">
      <c r="A4" t="inlineStr">
        <is>
          <t>EBIT margin</t>
        </is>
      </c>
      <c r="B4" s="4" t="n">
        <v>0.25</v>
      </c>
      <c r="C4" s="4" t="n">
        <v>0.251</v>
      </c>
      <c r="D4" s="4" t="n">
        <v>0.25</v>
      </c>
      <c r="E4" s="4" t="n">
        <v>0.25</v>
      </c>
      <c r="F4" s="4" t="n">
        <v>0.25</v>
      </c>
      <c r="G4" s="4" t="n">
        <v>0.25</v>
      </c>
      <c r="H4" s="4" t="n">
        <v>0.25</v>
      </c>
    </row>
    <row r="5">
      <c r="A5" t="inlineStr">
        <is>
          <t>EBIT (₹ crore)</t>
        </is>
      </c>
      <c r="C5" s="6" t="n">
        <v>71309.10000000001</v>
      </c>
      <c r="D5" s="6" t="n">
        <v>77125</v>
      </c>
      <c r="E5" s="6" t="n">
        <v>82523.75</v>
      </c>
      <c r="F5" s="6" t="n">
        <v>87475.25</v>
      </c>
      <c r="G5" s="6" t="n">
        <v>92286.5</v>
      </c>
      <c r="H5" s="6" t="n">
        <v>96900.75</v>
      </c>
    </row>
    <row r="6">
      <c r="A6" t="inlineStr">
        <is>
          <t>Tax rate</t>
        </is>
      </c>
      <c r="C6" s="4" t="n">
        <v>0.245</v>
      </c>
      <c r="D6" s="4" t="n">
        <v>0.245</v>
      </c>
      <c r="E6" s="4" t="n">
        <v>0.245</v>
      </c>
      <c r="F6" s="4" t="n">
        <v>0.245</v>
      </c>
      <c r="G6" s="4" t="n">
        <v>0.245</v>
      </c>
      <c r="H6" s="4" t="n">
        <v>0.245</v>
      </c>
    </row>
    <row r="7">
      <c r="A7" t="inlineStr">
        <is>
          <t>NOPAT (₹ crore)</t>
        </is>
      </c>
      <c r="C7" s="6" t="n">
        <v>53838.3705</v>
      </c>
      <c r="D7" s="6" t="n">
        <v>58229.375</v>
      </c>
      <c r="E7" s="6" t="n">
        <v>62305.43125</v>
      </c>
      <c r="F7" s="6" t="n">
        <v>66043.81375</v>
      </c>
      <c r="G7" s="6" t="n">
        <v>69676.3075</v>
      </c>
      <c r="H7" s="6" t="n">
        <v>73160.06625</v>
      </c>
    </row>
    <row r="8">
      <c r="A8" t="inlineStr">
        <is>
          <t>D&amp;A (₹ crore)</t>
        </is>
      </c>
      <c r="C8" s="6" t="n">
        <v>5966.1</v>
      </c>
      <c r="D8" s="6" t="n">
        <v>6478.5</v>
      </c>
      <c r="E8" s="6" t="n">
        <v>6931.995000000001</v>
      </c>
      <c r="F8" s="6" t="n">
        <v>7347.921</v>
      </c>
      <c r="G8" s="6" t="n">
        <v>7752.066000000001</v>
      </c>
      <c r="H8" s="6" t="n">
        <v>8139.663</v>
      </c>
    </row>
    <row r="9">
      <c r="A9" t="inlineStr">
        <is>
          <t>Capex (₹ crore)</t>
        </is>
      </c>
      <c r="C9" s="6" t="n">
        <v>3977.4</v>
      </c>
      <c r="D9" s="6" t="n">
        <v>4319</v>
      </c>
      <c r="E9" s="6" t="n">
        <v>4621.33</v>
      </c>
      <c r="F9" s="6" t="n">
        <v>4898.614</v>
      </c>
      <c r="G9" s="6" t="n">
        <v>5168.044</v>
      </c>
      <c r="H9" s="6" t="n">
        <v>5426.442</v>
      </c>
    </row>
    <row r="10">
      <c r="A10" t="inlineStr">
        <is>
          <t>Change in NWC (₹ crore)</t>
        </is>
      </c>
      <c r="C10" s="6" t="n">
        <v>170.79</v>
      </c>
      <c r="D10" s="6" t="n">
        <v>244</v>
      </c>
      <c r="E10" s="6" t="n">
        <v>215.95</v>
      </c>
      <c r="F10" s="6" t="n">
        <v>198.06</v>
      </c>
      <c r="G10" s="6" t="n">
        <v>192.45</v>
      </c>
      <c r="H10" s="6" t="n">
        <v>184.57</v>
      </c>
    </row>
    <row r="11">
      <c r="A11" t="inlineStr">
        <is>
          <t>FCFF (₹ crore)</t>
        </is>
      </c>
      <c r="C11" s="6" t="n">
        <v>55656.2805</v>
      </c>
      <c r="D11" s="6" t="n">
        <v>60144.875</v>
      </c>
      <c r="E11" s="6" t="n">
        <v>64400.14625000001</v>
      </c>
      <c r="F11" s="6" t="n">
        <v>68295.06075</v>
      </c>
      <c r="G11" s="6" t="n">
        <v>72067.87950000001</v>
      </c>
      <c r="H11" s="6" t="n">
        <v>75688.71725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5" t="inlineStr">
        <is>
          <t>DCF Calculation</t>
        </is>
      </c>
      <c r="B1" s="5" t="inlineStr">
        <is>
          <t>Value</t>
        </is>
      </c>
    </row>
    <row r="2">
      <c r="A2" t="inlineStr">
        <is>
          <t>WACC</t>
        </is>
      </c>
      <c r="B2" s="4" t="n">
        <v>0.113</v>
      </c>
    </row>
    <row r="3">
      <c r="A3" t="inlineStr">
        <is>
          <t>Terminal growth</t>
        </is>
      </c>
      <c r="B3" s="4" t="n">
        <v>0.045</v>
      </c>
    </row>
    <row r="4">
      <c r="A4" t="inlineStr">
        <is>
          <t>PV of explicit FCFF (₹ crore)</t>
        </is>
      </c>
      <c r="B4" s="6" t="n">
        <v>271783.5531492739</v>
      </c>
    </row>
    <row r="5">
      <c r="A5" t="inlineStr">
        <is>
          <t>PV of terminal value (₹ crore)</t>
        </is>
      </c>
      <c r="B5" s="6" t="n">
        <v>611881.8016023387</v>
      </c>
    </row>
    <row r="6">
      <c r="A6" t="inlineStr">
        <is>
          <t>Enterprise value (₹ crore)</t>
        </is>
      </c>
      <c r="B6" s="6" t="n">
        <v>883665.3547516125</v>
      </c>
    </row>
    <row r="7">
      <c r="A7" t="inlineStr">
        <is>
          <t>Cash + investments (₹ crore)</t>
        </is>
      </c>
      <c r="B7" s="6" t="n">
        <v>46896</v>
      </c>
    </row>
    <row r="8">
      <c r="A8" t="inlineStr">
        <is>
          <t>Debt / lease liabilities (₹ crore)</t>
        </is>
      </c>
      <c r="B8" s="6" t="n">
        <v>2283</v>
      </c>
    </row>
    <row r="9">
      <c r="A9" t="inlineStr">
        <is>
          <t>Equity value (₹ crore)</t>
        </is>
      </c>
      <c r="B9" s="6" t="n">
        <v>928278.3547516125</v>
      </c>
    </row>
    <row r="10">
      <c r="A10" t="inlineStr">
        <is>
          <t>Shares outstanding (crore)</t>
        </is>
      </c>
      <c r="B10" s="6" t="n">
        <v>361.8087518</v>
      </c>
    </row>
    <row r="11">
      <c r="A11" t="inlineStr">
        <is>
          <t>DCF target price (₹)</t>
        </is>
      </c>
      <c r="B11" s="3" t="n">
        <v>2565.660311237426</v>
      </c>
    </row>
    <row r="12">
      <c r="A12" t="inlineStr">
        <is>
          <t>Implied upside</t>
        </is>
      </c>
      <c r="B12" s="4" t="n">
        <v>0.08760504927402546</v>
      </c>
    </row>
    <row r="15">
      <c r="A15" t="inlineStr">
        <is>
          <t>FCFF formula</t>
        </is>
      </c>
      <c r="B15" t="inlineStr">
        <is>
          <t>EBIT × (1 − tax) + D&amp;A − Capex − Change in NWC</t>
        </is>
      </c>
    </row>
    <row r="16">
      <c r="A16" t="inlineStr">
        <is>
          <t>Terminal value</t>
        </is>
      </c>
      <c r="B16" t="inlineStr">
        <is>
          <t>FY32E FCFF × (1 + g) / (WACC − g)</t>
        </is>
      </c>
    </row>
    <row r="17">
      <c r="A17" t="inlineStr">
        <is>
          <t>Equity bridge</t>
        </is>
      </c>
      <c r="B17" t="inlineStr">
        <is>
          <t>Enterprise Value + Cash/Investments − Debt/Lease Liabilities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5" t="inlineStr">
        <is>
          <t>DCF Sensitivity — Implied Share Price (₹)</t>
        </is>
      </c>
    </row>
    <row r="2">
      <c r="A2" s="2" t="inlineStr">
        <is>
          <t>WACC \ Terminal g</t>
        </is>
      </c>
      <c r="B2" s="7" t="n">
        <v>0.035</v>
      </c>
      <c r="C2" s="7" t="n">
        <v>0.04</v>
      </c>
      <c r="D2" s="7" t="n">
        <v>0.045</v>
      </c>
      <c r="E2" s="7" t="n">
        <v>0.05</v>
      </c>
      <c r="F2" s="7" t="n">
        <v>0.055</v>
      </c>
    </row>
    <row r="3">
      <c r="A3" s="4" t="n">
        <v>0.103</v>
      </c>
      <c r="B3" s="8" t="n">
        <v>2665.951153003972</v>
      </c>
      <c r="C3" s="8" t="n">
        <v>2815.504128163645</v>
      </c>
      <c r="D3" s="8" t="n">
        <v>2990.842099040502</v>
      </c>
      <c r="E3" s="8" t="n">
        <v>3199.262705931861</v>
      </c>
      <c r="F3" s="8" t="n">
        <v>3451.104272592253</v>
      </c>
    </row>
    <row r="4">
      <c r="A4" s="4" t="n">
        <v>0.108</v>
      </c>
      <c r="B4" s="8" t="n">
        <v>2488.973634973131</v>
      </c>
      <c r="C4" s="8" t="n">
        <v>2615.15392076989</v>
      </c>
      <c r="D4" s="8" t="n">
        <v>2761.362823359784</v>
      </c>
      <c r="E4" s="8" t="n">
        <v>2932.780157430695</v>
      </c>
      <c r="F4" s="8" t="n">
        <v>3136.540384722533</v>
      </c>
    </row>
    <row r="5">
      <c r="A5" s="4" t="n">
        <v>0.113</v>
      </c>
      <c r="B5" s="8" t="n">
        <v>2334.734360602426</v>
      </c>
      <c r="C5" s="8" t="n">
        <v>2442.288912952974</v>
      </c>
      <c r="D5" s="8" t="n">
        <v>2565.660311237426</v>
      </c>
      <c r="E5" s="8" t="n">
        <v>2708.614471154332</v>
      </c>
      <c r="F5" s="8" t="n">
        <v>2876.215900022426</v>
      </c>
    </row>
    <row r="6">
      <c r="A6" s="4" t="n">
        <v>0.118</v>
      </c>
      <c r="B6" s="8" t="n">
        <v>2199.122874448936</v>
      </c>
      <c r="C6" s="8" t="n">
        <v>2291.62258392664</v>
      </c>
      <c r="D6" s="8" t="n">
        <v>2396.793486483482</v>
      </c>
      <c r="E6" s="8" t="n">
        <v>2517.430698239859</v>
      </c>
      <c r="F6" s="8" t="n">
        <v>2657.21667376709</v>
      </c>
    </row>
    <row r="7">
      <c r="A7" s="4" t="n">
        <v>0.123</v>
      </c>
      <c r="B7" s="8" t="n">
        <v>2078.962947844648</v>
      </c>
      <c r="C7" s="8" t="n">
        <v>2159.142298678878</v>
      </c>
      <c r="D7" s="8" t="n">
        <v>2249.601053466215</v>
      </c>
      <c r="E7" s="8" t="n">
        <v>2352.451418498392</v>
      </c>
      <c r="F7" s="8" t="n">
        <v>2470.426837211771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5" t="inlineStr">
        <is>
          <t>WACC component</t>
        </is>
      </c>
      <c r="B1" s="5" t="inlineStr">
        <is>
          <t>Assumption</t>
        </is>
      </c>
      <c r="C1" s="5" t="inlineStr">
        <is>
          <t>Comment</t>
        </is>
      </c>
    </row>
    <row r="2">
      <c r="A2" t="inlineStr">
        <is>
          <t>Risk-free rate</t>
        </is>
      </c>
      <c r="B2" s="4" t="n">
        <v>0.068</v>
      </c>
      <c r="C2" t="inlineStr">
        <is>
          <t>India 10Y government yield reference</t>
        </is>
      </c>
    </row>
    <row r="3">
      <c r="A3" t="inlineStr">
        <is>
          <t>Beta</t>
        </is>
      </c>
      <c r="B3" t="n">
        <v>1</v>
      </c>
      <c r="C3" t="inlineStr">
        <is>
          <t>Illustrative modelling assumption</t>
        </is>
      </c>
    </row>
    <row r="4">
      <c r="A4" t="inlineStr">
        <is>
          <t>Equity risk premium</t>
        </is>
      </c>
      <c r="B4" s="4" t="n">
        <v>0.045</v>
      </c>
      <c r="C4" t="inlineStr">
        <is>
          <t>Student modelling assumption</t>
        </is>
      </c>
    </row>
    <row r="5">
      <c r="A5" t="inlineStr">
        <is>
          <t>Cost of equity</t>
        </is>
      </c>
      <c r="B5" s="4" t="n">
        <v>0.113</v>
      </c>
      <c r="C5" t="inlineStr">
        <is>
          <t>CAPM = Rf + Beta × ERP</t>
        </is>
      </c>
    </row>
    <row r="6">
      <c r="A6" t="inlineStr">
        <is>
          <t>Pre-tax cost of debt</t>
        </is>
      </c>
      <c r="B6" s="4" t="n">
        <v>0.07000000000000001</v>
      </c>
      <c r="C6" t="inlineStr">
        <is>
          <t>Illustrative assumption</t>
        </is>
      </c>
    </row>
    <row r="7">
      <c r="A7" t="inlineStr">
        <is>
          <t>Debt / lease liabilities (₹ crore)</t>
        </is>
      </c>
      <c r="B7" t="n">
        <v>2283</v>
      </c>
      <c r="C7" t="inlineStr">
        <is>
          <t>Debt-like liabilities used in equity bridge</t>
        </is>
      </c>
    </row>
    <row r="8">
      <c r="A8" t="inlineStr">
        <is>
          <t>Model WACC</t>
        </is>
      </c>
      <c r="B8" s="4" t="n">
        <v>0.113</v>
      </c>
      <c r="C8" t="inlineStr">
        <is>
          <t>Rounded WACC used in base DCF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5" t="inlineStr">
        <is>
          <t>Source</t>
        </is>
      </c>
      <c r="B1" s="5" t="inlineStr">
        <is>
          <t>Use in project</t>
        </is>
      </c>
    </row>
    <row r="2">
      <c r="A2" t="inlineStr">
        <is>
          <t>TCS Annual Report 2025-26 (official)</t>
        </is>
      </c>
      <c r="B2" t="inlineStr">
        <is>
          <t>FY26A financial statements and balance sheet</t>
        </is>
      </c>
    </row>
    <row r="3">
      <c r="A3" t="inlineStr">
        <is>
          <t>TCS Q1 FY27 official results</t>
        </is>
      </c>
      <c r="B3" t="inlineStr">
        <is>
          <t>Latest operating context</t>
        </is>
      </c>
    </row>
    <row r="4">
      <c r="A4" t="inlineStr">
        <is>
          <t>Motilal Oswal TCS report, 12-Jan-2026 (uploaded)</t>
        </is>
      </c>
      <c r="B4" t="inlineStr">
        <is>
          <t>FY27E-FY28E forecast anchors</t>
        </is>
      </c>
    </row>
    <row r="5">
      <c r="A5" t="inlineStr">
        <is>
          <t>CFA Institute — Free Cash Flow Valuation</t>
        </is>
      </c>
      <c r="B5" t="inlineStr">
        <is>
          <t>FCFF/WACC/terminal value methodology</t>
        </is>
      </c>
    </row>
    <row r="6">
      <c r="A6" t="inlineStr">
        <is>
          <t>Market reference: TCS close 14-Aug-2026</t>
        </is>
      </c>
      <c r="B6" t="inlineStr">
        <is>
          <t>₹2,359 reference price</t>
        </is>
      </c>
    </row>
    <row r="7">
      <c r="A7" t="inlineStr">
        <is>
          <t>Student assumptions</t>
        </is>
      </c>
      <c r="B7" t="inlineStr">
        <is>
          <t>FY29E-FY32E extension and valuation assumptions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Academic/student model; not investment advice.</t>
        </is>
      </c>
    </row>
    <row r="2">
      <c r="A2" t="inlineStr">
        <is>
          <t>FY26A is based on TCS FY2025-26 official reporting.</t>
        </is>
      </c>
    </row>
    <row r="3">
      <c r="A3" t="inlineStr">
        <is>
          <t>FY27E-FY28E are anchored to the uploaded Motilal Oswal report; FY29E-FY32E are independent extensions.</t>
        </is>
      </c>
    </row>
    <row r="4">
      <c r="A4" t="inlineStr">
        <is>
          <t>The broker's ₹4,400 P/E target is not used as the DCF target.</t>
        </is>
      </c>
    </row>
    <row r="5">
      <c r="A5" t="inlineStr">
        <is>
          <t>Base DCF target ≈ ₹2,566/share versus ₹2,359 reference price.</t>
        </is>
      </c>
    </row>
    <row r="6">
      <c r="A6" t="inlineStr">
        <is>
          <t>Cash and investments are added and debt/lease liabilities are deducted to bridge EV to equity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2026-08-15T21:53:39Z</dcterms:created>
  <dcterms:modified xmlns:dcterms="http://purl.org/dc/terms/" xmlns:xsi="http://www.w3.org/2001/XMLSchema-instance" xsi:type="dcterms:W3CDTF">2026-08-15T22:58:35Z</dcterms:modified>
</cp:coreProperties>
</file>